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syddanskuni-my.sharepoint.com/personal/felix_l_hoch_mci_sdu_dk/Documents/Documents/old/Spotter-Syringe/DOcs/"/>
    </mc:Choice>
  </mc:AlternateContent>
  <xr:revisionPtr revIDLastSave="266" documentId="11_AD4D1D646341095ACB700041ADD0E434693EDF10" xr6:coauthVersionLast="47" xr6:coauthVersionMax="47" xr10:uidLastSave="{A7F32AC3-49B9-43DD-8FB0-4C4C2FAEE0B5}"/>
  <bookViews>
    <workbookView xWindow="-120" yWindow="-120" windowWidth="29040" windowHeight="15720" xr2:uid="{00000000-000D-0000-FFFF-FFFF00000000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10" i="1" s="1"/>
</calcChain>
</file>

<file path=xl/sharedStrings.xml><?xml version="1.0" encoding="utf-8"?>
<sst xmlns="http://schemas.openxmlformats.org/spreadsheetml/2006/main" count="71" uniqueCount="47">
  <si>
    <t>BOM - Syringe Spotter V2</t>
  </si>
  <si>
    <t>EUR</t>
  </si>
  <si>
    <t>Total</t>
  </si>
  <si>
    <t>PART NAME &amp; Link</t>
  </si>
  <si>
    <t>Supplier</t>
  </si>
  <si>
    <t>Price</t>
  </si>
  <si>
    <t>Status</t>
  </si>
  <si>
    <t>Linear Actuator for Syringe</t>
  </si>
  <si>
    <t>Stepper-Online</t>
  </si>
  <si>
    <t>ORDERED</t>
  </si>
  <si>
    <t>€</t>
  </si>
  <si>
    <t xml:space="preserve">10 uL Syringe </t>
  </si>
  <si>
    <t>Sigma-Aldrich</t>
  </si>
  <si>
    <t>ORDER-PENDING</t>
  </si>
  <si>
    <t>CONNECTOR-Pins</t>
  </si>
  <si>
    <t>RS-Online</t>
  </si>
  <si>
    <t>MICRO-USB-M--USB-A-F</t>
  </si>
  <si>
    <t>DKK</t>
  </si>
  <si>
    <t>USB-B-M -- USB-A-M</t>
  </si>
  <si>
    <t>RPI ZERO_W_V2</t>
  </si>
  <si>
    <t>Farnell</t>
  </si>
  <si>
    <t>SOURCED</t>
  </si>
  <si>
    <t>VacuumChuckBaseBlock</t>
  </si>
  <si>
    <t>ALWA</t>
  </si>
  <si>
    <t>BL-Touch</t>
  </si>
  <si>
    <t>3D-ExpertenDK</t>
  </si>
  <si>
    <t>SD-CARD</t>
  </si>
  <si>
    <t>PETG - Black</t>
  </si>
  <si>
    <t>STATUS</t>
  </si>
  <si>
    <t>PETG - ORANGE</t>
  </si>
  <si>
    <t>PRUSA MK3s</t>
  </si>
  <si>
    <t>SDU</t>
  </si>
  <si>
    <t>DIGIKEY</t>
  </si>
  <si>
    <t>IDEAS</t>
  </si>
  <si>
    <t>https://www.mt24.com/en/electronics/sensors/more-sensors/other-sensors/captron-laser-tcp-sensor.html</t>
  </si>
  <si>
    <t>TCP calibration equipment</t>
  </si>
  <si>
    <t>LASER Driver</t>
  </si>
  <si>
    <t>Ardustore</t>
  </si>
  <si>
    <t>3.25</t>
  </si>
  <si>
    <t>TCP Laser</t>
  </si>
  <si>
    <t>industrymall</t>
  </si>
  <si>
    <t>CANCELED</t>
  </si>
  <si>
    <t>M2.5x 12</t>
  </si>
  <si>
    <t>M2.5 Nut</t>
  </si>
  <si>
    <t>5.8</t>
  </si>
  <si>
    <t>LASER CONNECTOR</t>
  </si>
  <si>
    <t>WAITING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</si>
</sst>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249977111117893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0" borderId="0" xfId="1"/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2" borderId="0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4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0000"/>
        </patternFill>
      </fill>
    </dxf>
    <dxf>
      <fill>
        <patternFill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1979F51D-B14B-4D9F-9C92-7712C406E1D9}"/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808E19-54F1-48D9-961B-DDAD364690AF}" name="Table2" displayName="Table2" ref="B6:E33" totalsRowShown="0" headerRowDxfId="13" dataDxfId="12">
  <autoFilter ref="B6:E33" xr:uid="{D1808E19-54F1-48D9-961B-DDAD364690AF}"/>
  <sortState xmlns:xlrd2="http://schemas.microsoft.com/office/spreadsheetml/2017/richdata2" ref="B7:E33">
    <sortCondition descending="1" ref="E6:E33"/>
  </sortState>
  <tableColumns count="4">
    <tableColumn id="1" xr3:uid="{092CC42B-B170-409B-AE09-B1CC77E2780B}" name="PART NAME &amp; Link" dataDxfId="11"/>
    <tableColumn id="2" xr3:uid="{E0D16D7C-CDDC-42B9-84DA-ABE30F2DEC66}" name="Supplier" dataDxfId="10"/>
    <tableColumn id="3" xr3:uid="{76F25679-B68A-444C-9FA8-B465F2D68A50}" name="Price" dataDxfId="9"/>
    <tableColumn id="4" xr3:uid="{46BD88CD-656A-43C2-8AEE-40357AD6B40C}" name="Status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k.farnell.com/raspberry-pi/rpi-zero-w-v2/raspberry-pi-kit-64bit-arm-cortex/dp/3838499?src=raspberrypi" TargetMode="External"/><Relationship Id="rId13" Type="http://schemas.openxmlformats.org/officeDocument/2006/relationships/hyperlink" Target="https://ardustore.dk/produkt/pc817-optokobler-2-kanal-3-6-24v-isolation-module?gad_source=1&amp;gad_campaignid=21613294775&amp;gclid=CjwKCAjw6MPRBhBTEiwAd-7Mr92mQJ4SUoXPi60LMlbrXBQB5tH4J4_vK_t3x98Qoz2a4QgZO9RrMhoCpEwQAvD_BwE" TargetMode="External"/><Relationship Id="rId18" Type="http://schemas.openxmlformats.org/officeDocument/2006/relationships/table" Target="../tables/table1.xml"/><Relationship Id="rId3" Type="http://schemas.openxmlformats.org/officeDocument/2006/relationships/hyperlink" Target="https://www.omc-stepperonline.com/de/nema-8-schrittmotor-kugelumlaufspindel-linearakkuator-0-5a-hub-60mm-0-01nm-1-416oz-in-steigung-1mm-0-03937-mit-sensor-lmd8s12bss05-060" TargetMode="External"/><Relationship Id="rId7" Type="http://schemas.openxmlformats.org/officeDocument/2006/relationships/hyperlink" Target="https://3deksperten.dk/products/prusament-petg-prusa-orange-1-75mm-1kg" TargetMode="External"/><Relationship Id="rId12" Type="http://schemas.openxmlformats.org/officeDocument/2006/relationships/hyperlink" Target="https://www.mt24.com/en/electronics/sensors/more-sensors/other-sensors/captron-laser-tcp-sensor.html" TargetMode="External"/><Relationship Id="rId17" Type="http://schemas.openxmlformats.org/officeDocument/2006/relationships/hyperlink" Target="https://www.digikey.dk/da/products/detail/altech-corporation/CBF08-R44N0-02BPVC/15851562?s=N4IgTCBcDaIMICEBiAGAHAWgEoBYcDkUMUwEAFANThAF0BfIA" TargetMode="External"/><Relationship Id="rId2" Type="http://schemas.openxmlformats.org/officeDocument/2006/relationships/hyperlink" Target="https://3deksperten.dk/products/3d-touch-spider-ex-creality-cr10-cr10s-ender-3-ender-3-pro" TargetMode="External"/><Relationship Id="rId16" Type="http://schemas.openxmlformats.org/officeDocument/2006/relationships/hyperlink" Target="44,66" TargetMode="External"/><Relationship Id="rId1" Type="http://schemas.openxmlformats.org/officeDocument/2006/relationships/hyperlink" Target="https://www.alwa.de/en/ALWA-POR-ALUMINIUM-1-200-x-300-x-20-mm/1118020" TargetMode="External"/><Relationship Id="rId6" Type="http://schemas.openxmlformats.org/officeDocument/2006/relationships/hyperlink" Target="https://3deksperten.dk/products/solid-black-3de-premium-petg-1-75mm" TargetMode="External"/><Relationship Id="rId11" Type="http://schemas.openxmlformats.org/officeDocument/2006/relationships/hyperlink" Target="https://dk.rs-online.com/web/p/usb-kabler/1862787" TargetMode="External"/><Relationship Id="rId5" Type="http://schemas.openxmlformats.org/officeDocument/2006/relationships/hyperlink" Target="https://www.sigmaaldrich.com/DK/en/product/sial/20682" TargetMode="External"/><Relationship Id="rId15" Type="http://schemas.openxmlformats.org/officeDocument/2006/relationships/hyperlink" Target="245,20" TargetMode="External"/><Relationship Id="rId10" Type="http://schemas.openxmlformats.org/officeDocument/2006/relationships/hyperlink" Target="https://dk.rs-online.com/web/p/usb-kabler/1862819" TargetMode="External"/><Relationship Id="rId4" Type="http://schemas.openxmlformats.org/officeDocument/2006/relationships/hyperlink" Target="https://3deksperten.dk/products/micro-sd-kort-16gb" TargetMode="External"/><Relationship Id="rId9" Type="http://schemas.openxmlformats.org/officeDocument/2006/relationships/hyperlink" Target="https://dk.rs-online.com/web/p/printstiftlister/2518418" TargetMode="External"/><Relationship Id="rId14" Type="http://schemas.openxmlformats.org/officeDocument/2006/relationships/hyperlink" Target="https://industrymall.de/en/plc/30411-captron-oglw2-40t-2ps6-tcp-measuring-instrument-40mm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tabSelected="1" zoomScaleNormal="100" workbookViewId="0">
      <selection activeCell="B11" sqref="B11"/>
    </sheetView>
  </sheetViews>
  <sheetFormatPr defaultRowHeight="15" x14ac:dyDescent="0.25"/>
  <cols>
    <col min="2" max="2" width="33.85546875" customWidth="1"/>
    <col min="3" max="3" width="36.28515625" customWidth="1"/>
    <col min="4" max="4" width="35.85546875" customWidth="1"/>
    <col min="5" max="5" width="20.85546875" customWidth="1"/>
    <col min="9" max="9" width="9.85546875" customWidth="1"/>
    <col min="10" max="10" width="17.140625" customWidth="1"/>
  </cols>
  <sheetData>
    <row r="1" spans="1:13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5" spans="1:13" x14ac:dyDescent="0.25">
      <c r="D5" s="1" t="s">
        <v>1</v>
      </c>
      <c r="F5" s="14" t="s">
        <v>2</v>
      </c>
      <c r="G5" s="16"/>
      <c r="H5" s="16"/>
    </row>
    <row r="6" spans="1:13" x14ac:dyDescent="0.25">
      <c r="B6" s="2" t="s">
        <v>3</v>
      </c>
      <c r="C6" s="2" t="s">
        <v>4</v>
      </c>
      <c r="D6" s="2" t="s">
        <v>5</v>
      </c>
      <c r="E6" s="2" t="s">
        <v>6</v>
      </c>
      <c r="F6" s="16"/>
      <c r="G6" s="16"/>
      <c r="H6" s="16"/>
    </row>
    <row r="7" spans="1:13" x14ac:dyDescent="0.25">
      <c r="B7" s="3" t="s">
        <v>11</v>
      </c>
      <c r="C7" s="1" t="s">
        <v>12</v>
      </c>
      <c r="D7" s="1">
        <v>54.45</v>
      </c>
      <c r="E7" s="9" t="s">
        <v>46</v>
      </c>
      <c r="F7" s="12">
        <f>SUM(Table2[Price])</f>
        <v>734.58999999999992</v>
      </c>
      <c r="G7" s="12"/>
      <c r="H7" s="12"/>
      <c r="I7" s="17" t="s">
        <v>10</v>
      </c>
    </row>
    <row r="8" spans="1:13" x14ac:dyDescent="0.25">
      <c r="B8" s="3" t="s">
        <v>24</v>
      </c>
      <c r="C8" s="1" t="s">
        <v>25</v>
      </c>
      <c r="D8" s="1">
        <v>16.05</v>
      </c>
      <c r="E8" s="7" t="s">
        <v>21</v>
      </c>
      <c r="F8" s="12"/>
      <c r="G8" s="12"/>
      <c r="H8" s="12"/>
      <c r="I8" s="17"/>
    </row>
    <row r="9" spans="1:13" x14ac:dyDescent="0.25">
      <c r="B9" s="3" t="s">
        <v>26</v>
      </c>
      <c r="C9" s="1" t="s">
        <v>25</v>
      </c>
      <c r="D9" s="1">
        <v>9.5299999999999994</v>
      </c>
      <c r="E9" s="5" t="s">
        <v>21</v>
      </c>
      <c r="F9" s="12"/>
      <c r="G9" s="12"/>
      <c r="H9" s="12"/>
      <c r="I9" s="17"/>
    </row>
    <row r="10" spans="1:13" x14ac:dyDescent="0.25">
      <c r="B10" s="3" t="s">
        <v>19</v>
      </c>
      <c r="C10" s="1" t="s">
        <v>20</v>
      </c>
      <c r="D10" s="1">
        <v>12.94</v>
      </c>
      <c r="E10" s="5" t="s">
        <v>21</v>
      </c>
      <c r="F10" s="12">
        <f>F7*7.47</f>
        <v>5487.3872999999994</v>
      </c>
      <c r="G10" s="12"/>
      <c r="H10" s="12"/>
      <c r="I10" s="13" t="s">
        <v>17</v>
      </c>
    </row>
    <row r="11" spans="1:13" x14ac:dyDescent="0.25">
      <c r="B11" s="1" t="s">
        <v>30</v>
      </c>
      <c r="C11" s="1" t="s">
        <v>31</v>
      </c>
      <c r="D11" s="1">
        <v>0</v>
      </c>
      <c r="E11" s="9" t="s">
        <v>21</v>
      </c>
      <c r="F11" s="12"/>
      <c r="G11" s="12"/>
      <c r="H11" s="12"/>
      <c r="I11" s="13"/>
    </row>
    <row r="12" spans="1:13" x14ac:dyDescent="0.25">
      <c r="B12" s="3" t="s">
        <v>22</v>
      </c>
      <c r="C12" s="1" t="s">
        <v>23</v>
      </c>
      <c r="D12" s="1">
        <v>128.02000000000001</v>
      </c>
      <c r="E12" s="9" t="s">
        <v>21</v>
      </c>
      <c r="F12" s="12"/>
      <c r="G12" s="12"/>
      <c r="H12" s="12"/>
      <c r="I12" s="13"/>
    </row>
    <row r="13" spans="1:13" x14ac:dyDescent="0.25">
      <c r="B13" s="3" t="s">
        <v>14</v>
      </c>
      <c r="C13" s="1" t="s">
        <v>15</v>
      </c>
      <c r="D13" s="1">
        <v>41.9</v>
      </c>
      <c r="E13" s="7" t="s">
        <v>21</v>
      </c>
    </row>
    <row r="14" spans="1:13" x14ac:dyDescent="0.25">
      <c r="B14" s="3" t="s">
        <v>16</v>
      </c>
      <c r="C14" s="1" t="s">
        <v>15</v>
      </c>
      <c r="D14" s="1">
        <v>5.58</v>
      </c>
      <c r="E14" s="5" t="s">
        <v>21</v>
      </c>
    </row>
    <row r="15" spans="1:13" x14ac:dyDescent="0.25">
      <c r="B15" s="3" t="s">
        <v>18</v>
      </c>
      <c r="C15" s="1" t="s">
        <v>15</v>
      </c>
      <c r="D15" s="1">
        <v>5.16</v>
      </c>
      <c r="E15" s="5" t="s">
        <v>21</v>
      </c>
    </row>
    <row r="16" spans="1:13" x14ac:dyDescent="0.25">
      <c r="B16" s="3" t="s">
        <v>7</v>
      </c>
      <c r="C16" s="1" t="s">
        <v>8</v>
      </c>
      <c r="D16" s="1">
        <v>201.93</v>
      </c>
      <c r="E16" s="5" t="s">
        <v>21</v>
      </c>
      <c r="J16" s="4" t="s">
        <v>28</v>
      </c>
    </row>
    <row r="17" spans="2:10" x14ac:dyDescent="0.25">
      <c r="B17" s="3" t="s">
        <v>36</v>
      </c>
      <c r="C17" s="1" t="s">
        <v>37</v>
      </c>
      <c r="D17" s="1" t="s">
        <v>38</v>
      </c>
      <c r="E17" s="18" t="s">
        <v>13</v>
      </c>
      <c r="F17" s="8"/>
      <c r="J17" s="5" t="s">
        <v>21</v>
      </c>
    </row>
    <row r="18" spans="2:10" x14ac:dyDescent="0.25">
      <c r="B18" s="3" t="s">
        <v>45</v>
      </c>
      <c r="C18" s="1" t="s">
        <v>32</v>
      </c>
      <c r="D18" s="1">
        <v>5.2</v>
      </c>
      <c r="E18" s="1" t="s">
        <v>13</v>
      </c>
      <c r="J18" s="5" t="s">
        <v>9</v>
      </c>
    </row>
    <row r="19" spans="2:10" x14ac:dyDescent="0.25">
      <c r="B19" s="3" t="s">
        <v>42</v>
      </c>
      <c r="C19" s="1" t="s">
        <v>15</v>
      </c>
      <c r="D19" s="1">
        <v>31</v>
      </c>
      <c r="E19" s="18" t="s">
        <v>13</v>
      </c>
      <c r="J19" s="5" t="s">
        <v>13</v>
      </c>
    </row>
    <row r="20" spans="2:10" x14ac:dyDescent="0.25">
      <c r="B20" s="3" t="s">
        <v>43</v>
      </c>
      <c r="C20" s="1" t="s">
        <v>15</v>
      </c>
      <c r="D20" s="1" t="s">
        <v>44</v>
      </c>
      <c r="E20" s="18" t="s">
        <v>13</v>
      </c>
      <c r="J20" s="7" t="s">
        <v>41</v>
      </c>
    </row>
    <row r="21" spans="2:10" x14ac:dyDescent="0.25">
      <c r="B21" s="3" t="s">
        <v>27</v>
      </c>
      <c r="C21" s="1" t="s">
        <v>25</v>
      </c>
      <c r="D21" s="1">
        <v>19.260000000000002</v>
      </c>
      <c r="E21" s="19" t="s">
        <v>9</v>
      </c>
      <c r="J21" s="11" t="s">
        <v>46</v>
      </c>
    </row>
    <row r="22" spans="2:10" x14ac:dyDescent="0.25">
      <c r="B22" s="3" t="s">
        <v>39</v>
      </c>
      <c r="C22" s="1" t="s">
        <v>40</v>
      </c>
      <c r="D22" s="1">
        <v>203.57</v>
      </c>
      <c r="E22" s="1" t="s">
        <v>9</v>
      </c>
    </row>
    <row r="23" spans="2:10" x14ac:dyDescent="0.25">
      <c r="B23" s="3" t="s">
        <v>29</v>
      </c>
      <c r="C23" s="1" t="s">
        <v>25</v>
      </c>
      <c r="D23" s="1">
        <v>0</v>
      </c>
      <c r="E23" s="10" t="s">
        <v>41</v>
      </c>
    </row>
    <row r="24" spans="2:10" x14ac:dyDescent="0.25">
      <c r="B24" s="1"/>
      <c r="C24" s="1"/>
      <c r="D24" s="1"/>
      <c r="E24" s="1"/>
    </row>
    <row r="25" spans="2:10" x14ac:dyDescent="0.25">
      <c r="B25" s="1"/>
      <c r="C25" s="1"/>
      <c r="D25" s="1"/>
      <c r="E25" s="1"/>
    </row>
    <row r="26" spans="2:10" x14ac:dyDescent="0.25">
      <c r="B26" s="1"/>
      <c r="C26" s="1"/>
      <c r="D26" s="1"/>
      <c r="E26" s="1"/>
    </row>
    <row r="27" spans="2:10" x14ac:dyDescent="0.25">
      <c r="B27" s="1"/>
      <c r="C27" s="1"/>
      <c r="D27" s="1"/>
      <c r="E27" s="1"/>
    </row>
    <row r="28" spans="2:10" x14ac:dyDescent="0.25">
      <c r="B28" s="1"/>
      <c r="C28" s="1"/>
      <c r="D28" s="1"/>
      <c r="E28" s="1"/>
    </row>
    <row r="29" spans="2:10" x14ac:dyDescent="0.25">
      <c r="B29" s="1"/>
      <c r="C29" s="1"/>
      <c r="D29" s="1"/>
      <c r="E29" s="1"/>
    </row>
    <row r="30" spans="2:10" x14ac:dyDescent="0.25">
      <c r="B30" s="1"/>
      <c r="C30" s="1"/>
      <c r="D30" s="1"/>
      <c r="E30" s="1"/>
    </row>
    <row r="31" spans="2:10" x14ac:dyDescent="0.25">
      <c r="B31" s="1"/>
      <c r="C31" s="1"/>
      <c r="D31" s="1"/>
      <c r="E31" s="1"/>
    </row>
    <row r="32" spans="2:10" x14ac:dyDescent="0.25">
      <c r="B32" s="1"/>
      <c r="C32" s="1"/>
      <c r="D32" s="1"/>
      <c r="E32" s="1"/>
    </row>
    <row r="33" spans="2:10" x14ac:dyDescent="0.25">
      <c r="B33" s="1"/>
      <c r="C33" s="1"/>
      <c r="D33" s="1"/>
      <c r="E33" s="1"/>
    </row>
    <row r="35" spans="2:10" x14ac:dyDescent="0.25">
      <c r="J35" t="s">
        <v>33</v>
      </c>
    </row>
    <row r="36" spans="2:10" x14ac:dyDescent="0.25">
      <c r="J36" s="6" t="s">
        <v>34</v>
      </c>
    </row>
    <row r="37" spans="2:10" x14ac:dyDescent="0.25">
      <c r="J37" t="s">
        <v>35</v>
      </c>
    </row>
  </sheetData>
  <mergeCells count="6">
    <mergeCell ref="F10:H12"/>
    <mergeCell ref="I10:I12"/>
    <mergeCell ref="A1:M4"/>
    <mergeCell ref="F7:H9"/>
    <mergeCell ref="F5:H6"/>
    <mergeCell ref="I7:I9"/>
  </mergeCells>
  <conditionalFormatting sqref="E7:E33">
    <cfRule type="containsText" dxfId="7" priority="1" operator="containsText" text="WAITING">
      <formula>NOT(ISERROR(SEARCH("WAITING",E7)))</formula>
    </cfRule>
    <cfRule type="containsText" dxfId="6" priority="2" operator="containsText" text="CANCELED">
      <formula>NOT(ISERROR(SEARCH("CANCELED",E7)))</formula>
    </cfRule>
    <cfRule type="containsText" dxfId="5" priority="3" operator="containsText" text="ORDER-PENDING">
      <formula>NOT(ISERROR(SEARCH("ORDER-PENDING",E7)))</formula>
    </cfRule>
    <cfRule type="containsText" dxfId="4" priority="4" operator="containsText" text="ORDERED">
      <formula>NOT(ISERROR(SEARCH("ORDERED",E7)))</formula>
    </cfRule>
    <cfRule type="containsText" dxfId="3" priority="5" operator="containsText" text="SOURCED">
      <formula>NOT(ISERROR(SEARCH("SOURCED",E7)))</formula>
    </cfRule>
  </conditionalFormatting>
  <conditionalFormatting sqref="J17:J21">
    <cfRule type="containsText" dxfId="2" priority="27" operator="containsText" text="ORDER-PENDING">
      <formula>NOT(ISERROR(SEARCH("ORDER-PENDING",J17)))</formula>
    </cfRule>
    <cfRule type="containsText" dxfId="1" priority="28" operator="containsText" text="ORDERED">
      <formula>NOT(ISERROR(SEARCH("ORDERED",J17)))</formula>
    </cfRule>
    <cfRule type="containsText" dxfId="0" priority="29" operator="containsText" text="SOURCED">
      <formula>NOT(ISERROR(SEARCH("SOURCED",J17)))</formula>
    </cfRule>
  </conditionalFormatting>
  <hyperlinks>
    <hyperlink ref="B12" r:id="rId1" xr:uid="{623D28A4-2376-4275-8A8A-D69DC5F0FF12}"/>
    <hyperlink ref="B8" r:id="rId2" xr:uid="{46705872-B2F4-4089-9F1E-40596293DD36}"/>
    <hyperlink ref="B16" r:id="rId3" xr:uid="{A5B26C5E-CCEA-4F72-9F2C-2CE84685264C}"/>
    <hyperlink ref="B9" r:id="rId4" xr:uid="{B8564A83-FE10-4DF5-ABC2-01311672CC5C}"/>
    <hyperlink ref="B7" r:id="rId5" xr:uid="{F4127FC0-FFD9-40E6-8D86-68919F687C38}"/>
    <hyperlink ref="B21" r:id="rId6" xr:uid="{966AC1FD-1F5C-447A-B03D-CE4FBFD7D3B9}"/>
    <hyperlink ref="B23" r:id="rId7" xr:uid="{732E4DA6-E747-4A28-8823-AC918AEBAD1E}"/>
    <hyperlink ref="B10" r:id="rId8" xr:uid="{6C968A74-2B62-4438-85AF-4227ACC8B0E4}"/>
    <hyperlink ref="B13" r:id="rId9" xr:uid="{CE57B702-63BA-444D-9FFE-1E44C9660076}"/>
    <hyperlink ref="B14" r:id="rId10" xr:uid="{2392079F-2922-4D77-8116-632C7E5852C2}"/>
    <hyperlink ref="B15" r:id="rId11" xr:uid="{89E2AB96-690E-4F0D-8AD3-66D260461D96}"/>
    <hyperlink ref="J36" r:id="rId12" xr:uid="{96F34307-9579-4DA5-8E2E-195EC8A68FA3}"/>
    <hyperlink ref="B17" r:id="rId13" xr:uid="{151CDF25-FB5D-4BE0-96EF-E458880625ED}"/>
    <hyperlink ref="B22" r:id="rId14" xr:uid="{B5EACD97-24CD-4C7F-8AD5-CBCEB32ADC47}"/>
    <hyperlink ref="B19" r:id="rId15" xr:uid="{4969CB0A-2937-4F3E-92D9-30B01E2700D4}"/>
    <hyperlink ref="B20" r:id="rId16" xr:uid="{22ACF08C-2F82-4BFA-8103-A8297CB51F88}"/>
    <hyperlink ref="B18" r:id="rId17" xr:uid="{1025E505-7EE3-455F-A6B0-AD2AC9274535}"/>
  </hyperlinks>
  <pageMargins left="0.7" right="0.7" top="0.75" bottom="0.75" header="0.3" footer="0.3"/>
  <tableParts count="1">
    <tablePart r:id="rId1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Felix Leo Hoch</dc:creator>
  <cp:keywords/>
  <dc:description/>
  <cp:lastModifiedBy>Felix Leo Hoch</cp:lastModifiedBy>
  <cp:revision/>
  <dcterms:created xsi:type="dcterms:W3CDTF">2015-06-05T18:19:34Z</dcterms:created>
  <dcterms:modified xsi:type="dcterms:W3CDTF">2026-06-23T08:29:39Z</dcterms:modified>
  <cp:category/>
  <cp:contentStatus/>
</cp:coreProperties>
</file>